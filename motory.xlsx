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cik\OneDrive\Documents\New folder\"/>
    </mc:Choice>
  </mc:AlternateContent>
  <xr:revisionPtr revIDLastSave="0" documentId="13_ncr:1_{79EA73B1-296D-4B6F-BE0B-048C462ACEE6}" xr6:coauthVersionLast="47" xr6:coauthVersionMax="47" xr10:uidLastSave="{00000000-0000-0000-0000-000000000000}"/>
  <bookViews>
    <workbookView xWindow="-108" yWindow="-108" windowWidth="23256" windowHeight="12456" xr2:uid="{AE5F38B6-E28E-43F5-B622-7B9528FFA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1" l="1"/>
  <c r="D13" i="1"/>
  <c r="D12" i="1"/>
  <c r="D11" i="1"/>
  <c r="D10" i="1"/>
</calcChain>
</file>

<file path=xl/sharedStrings.xml><?xml version="1.0" encoding="utf-8"?>
<sst xmlns="http://schemas.openxmlformats.org/spreadsheetml/2006/main" count="59" uniqueCount="24">
  <si>
    <t>power</t>
  </si>
  <si>
    <t>rpm</t>
  </si>
  <si>
    <t>efficiency</t>
  </si>
  <si>
    <t>voltage</t>
  </si>
  <si>
    <t>price</t>
  </si>
  <si>
    <t>manufacturer</t>
  </si>
  <si>
    <t>400/690</t>
  </si>
  <si>
    <t>KASTE</t>
  </si>
  <si>
    <t>SEVA</t>
  </si>
  <si>
    <t>IE3</t>
  </si>
  <si>
    <t>name</t>
  </si>
  <si>
    <t>Y2 315L2-4-IE3</t>
  </si>
  <si>
    <t>Y2 315L-4-IE3</t>
  </si>
  <si>
    <t>Y2 315M-4-IE3</t>
  </si>
  <si>
    <t>Y2 315S-4-IE3</t>
  </si>
  <si>
    <t>Y2 315L2-2-IE3</t>
  </si>
  <si>
    <t>Y2 315L1-2-IE3</t>
  </si>
  <si>
    <t>Y2 315M-2-IE3</t>
  </si>
  <si>
    <t>Y2 315S-2-IE3</t>
  </si>
  <si>
    <t>IE3 355M2-4</t>
  </si>
  <si>
    <t>IE3 355M2-2</t>
  </si>
  <si>
    <t>IE3 355L2-2</t>
  </si>
  <si>
    <t>IE3 355L2-4</t>
  </si>
  <si>
    <t>IE3 355L4-4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</si>
</sst>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4274"/>
      <name val="Aptos Narrow"/>
      <family val="2"/>
      <scheme val="minor"/>
    </font>
    <font>
      <b/>
      <sz val="10"/>
      <color rgb="FF212529"/>
      <name val="Segoe UI"/>
      <family val="2"/>
    </font>
    <font>
      <sz val="11"/>
      <color rgb="FF23232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56EAA-6D72-4AE9-9A97-230CAC3D4DB2}">
  <dimension ref="A1:G14"/>
  <sheetViews>
    <sheetView tabSelected="1" workbookViewId="0">
      <selection activeCell="B14" sqref="B14"/>
    </sheetView>
  </sheetViews>
  <sheetFormatPr defaultRowHeight="14.4" x14ac:dyDescent="0.3"/>
  <cols>
    <col min="5" max="5" width="12" bestFit="1" customWidth="1"/>
  </cols>
  <sheetData>
    <row r="1" spans="1:7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</v>
      </c>
      <c r="G1" t="s">
        <v>10</v>
      </c>
    </row>
    <row r="2" spans="1:7" ht="15" x14ac:dyDescent="0.35">
      <c r="A2">
        <v>110</v>
      </c>
      <c r="B2">
        <v>3000</v>
      </c>
      <c r="C2" t="s">
        <v>6</v>
      </c>
      <c r="D2" s="1">
        <v>135338</v>
      </c>
      <c r="E2" t="s">
        <v>7</v>
      </c>
      <c r="F2" t="s">
        <v>9</v>
      </c>
      <c r="G2" s="2" t="s">
        <v>18</v>
      </c>
    </row>
    <row r="3" spans="1:7" ht="15" x14ac:dyDescent="0.35">
      <c r="A3">
        <v>110</v>
      </c>
      <c r="B3">
        <v>1500</v>
      </c>
      <c r="C3" t="s">
        <v>6</v>
      </c>
      <c r="D3">
        <v>135350</v>
      </c>
      <c r="E3" t="s">
        <v>7</v>
      </c>
      <c r="F3" t="s">
        <v>9</v>
      </c>
      <c r="G3" s="2" t="s">
        <v>14</v>
      </c>
    </row>
    <row r="4" spans="1:7" ht="15" x14ac:dyDescent="0.35">
      <c r="A4">
        <v>132</v>
      </c>
      <c r="B4">
        <v>3000</v>
      </c>
      <c r="C4" t="s">
        <v>6</v>
      </c>
      <c r="D4">
        <v>147002</v>
      </c>
      <c r="E4" t="s">
        <v>7</v>
      </c>
      <c r="F4" t="s">
        <v>9</v>
      </c>
      <c r="G4" s="2" t="s">
        <v>17</v>
      </c>
    </row>
    <row r="5" spans="1:7" ht="15" x14ac:dyDescent="0.35">
      <c r="A5">
        <v>132</v>
      </c>
      <c r="B5">
        <v>1500</v>
      </c>
      <c r="C5" t="s">
        <v>6</v>
      </c>
      <c r="D5">
        <v>147607</v>
      </c>
      <c r="E5" t="s">
        <v>7</v>
      </c>
      <c r="F5" t="s">
        <v>9</v>
      </c>
      <c r="G5" s="2" t="s">
        <v>13</v>
      </c>
    </row>
    <row r="6" spans="1:7" ht="15" x14ac:dyDescent="0.35">
      <c r="A6">
        <v>160</v>
      </c>
      <c r="B6">
        <v>3000</v>
      </c>
      <c r="C6" t="s">
        <v>6</v>
      </c>
      <c r="D6">
        <v>156634</v>
      </c>
      <c r="E6" t="s">
        <v>7</v>
      </c>
      <c r="F6" t="s">
        <v>9</v>
      </c>
      <c r="G6" s="2" t="s">
        <v>16</v>
      </c>
    </row>
    <row r="7" spans="1:7" ht="15" x14ac:dyDescent="0.35">
      <c r="A7">
        <v>160</v>
      </c>
      <c r="B7">
        <v>1500</v>
      </c>
      <c r="C7" t="s">
        <v>6</v>
      </c>
      <c r="D7">
        <v>156634</v>
      </c>
      <c r="E7" t="s">
        <v>7</v>
      </c>
      <c r="F7" t="s">
        <v>9</v>
      </c>
      <c r="G7" s="2" t="s">
        <v>12</v>
      </c>
    </row>
    <row r="8" spans="1:7" ht="15" x14ac:dyDescent="0.35">
      <c r="A8">
        <v>200</v>
      </c>
      <c r="B8">
        <v>3000</v>
      </c>
      <c r="C8" t="s">
        <v>6</v>
      </c>
      <c r="D8">
        <v>177010</v>
      </c>
      <c r="E8" t="s">
        <v>7</v>
      </c>
      <c r="F8" t="s">
        <v>9</v>
      </c>
      <c r="G8" s="2" t="s">
        <v>15</v>
      </c>
    </row>
    <row r="9" spans="1:7" ht="15" x14ac:dyDescent="0.35">
      <c r="A9">
        <v>200</v>
      </c>
      <c r="B9">
        <v>1500</v>
      </c>
      <c r="C9" t="s">
        <v>6</v>
      </c>
      <c r="D9">
        <v>176647</v>
      </c>
      <c r="E9" t="s">
        <v>7</v>
      </c>
      <c r="F9" t="s">
        <v>9</v>
      </c>
      <c r="G9" s="2" t="s">
        <v>11</v>
      </c>
    </row>
    <row r="10" spans="1:7" ht="28.8" x14ac:dyDescent="0.3">
      <c r="A10">
        <v>250</v>
      </c>
      <c r="B10">
        <v>1500</v>
      </c>
      <c r="C10" t="s">
        <v>6</v>
      </c>
      <c r="D10">
        <f>1.21*206667</f>
        <v>250067.07</v>
      </c>
      <c r="E10" t="s">
        <v>8</v>
      </c>
      <c r="F10" t="s">
        <v>9</v>
      </c>
      <c r="G10" s="3" t="s">
        <v>19</v>
      </c>
    </row>
    <row r="11" spans="1:7" ht="28.8" x14ac:dyDescent="0.3">
      <c r="A11">
        <v>250</v>
      </c>
      <c r="B11">
        <v>3000</v>
      </c>
      <c r="C11" t="s">
        <v>6</v>
      </c>
      <c r="D11">
        <f>1.21*222890</f>
        <v>269696.89999999997</v>
      </c>
      <c r="E11" t="s">
        <v>8</v>
      </c>
      <c r="F11" t="s">
        <v>9</v>
      </c>
      <c r="G11" s="3" t="s">
        <v>20</v>
      </c>
    </row>
    <row r="12" spans="1:7" ht="28.8" x14ac:dyDescent="0.3">
      <c r="A12">
        <v>315</v>
      </c>
      <c r="B12">
        <v>1500</v>
      </c>
      <c r="C12" t="s">
        <v>6</v>
      </c>
      <c r="D12">
        <f>1.21*234156</f>
        <v>283328.76</v>
      </c>
      <c r="E12" t="s">
        <v>8</v>
      </c>
      <c r="F12" t="s">
        <v>9</v>
      </c>
      <c r="G12" s="3" t="s">
        <v>22</v>
      </c>
    </row>
    <row r="13" spans="1:7" ht="28.8" x14ac:dyDescent="0.3">
      <c r="A13">
        <v>315</v>
      </c>
      <c r="B13">
        <v>3000</v>
      </c>
      <c r="C13" t="s">
        <v>6</v>
      </c>
      <c r="D13">
        <f>1.21*267547</f>
        <v>323731.87</v>
      </c>
      <c r="E13" t="s">
        <v>8</v>
      </c>
      <c r="F13" t="s">
        <v>9</v>
      </c>
      <c r="G13" s="3" t="s">
        <v>21</v>
      </c>
    </row>
    <row r="14" spans="1:7" ht="28.8" x14ac:dyDescent="0.3">
      <c r="A14">
        <v>400</v>
      </c>
      <c r="B14">
        <v>1500</v>
      </c>
      <c r="C14" t="s">
        <v>6</v>
      </c>
      <c r="D14">
        <f>1.21*261393</f>
        <v>316285.52999999997</v>
      </c>
      <c r="E14" t="s">
        <v>8</v>
      </c>
      <c r="F14" t="s">
        <v>9</v>
      </c>
      <c r="G14" s="3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Bačík Lukáš (257419)</dc:creator>
  <cp:lastModifiedBy>Bačík Lukáš (257419)</cp:lastModifiedBy>
  <dcterms:created xsi:type="dcterms:W3CDTF">2026-04-17T07:52:53Z</dcterms:created>
  <dcterms:modified xsi:type="dcterms:W3CDTF">2026-04-17T09:55:21Z</dcterms:modified>
</cp:coreProperties>
</file>